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my_\Downloads\"/>
    </mc:Choice>
  </mc:AlternateContent>
  <xr:revisionPtr revIDLastSave="0" documentId="13_ncr:1_{2C2B56B1-77B3-4DF2-91EA-6CE8A68409BF}" xr6:coauthVersionLast="47" xr6:coauthVersionMax="47" xr10:uidLastSave="{00000000-0000-0000-0000-000000000000}"/>
  <bookViews>
    <workbookView xWindow="-120" yWindow="-120" windowWidth="20730" windowHeight="11160" tabRatio="500" activeTab="4" xr2:uid="{00000000-000D-0000-FFFF-FFFF00000000}"/>
  </bookViews>
  <sheets>
    <sheet name="Portada" sheetId="1" r:id="rId1"/>
    <sheet name="SLA Tecnicos" sheetId="2" r:id="rId2"/>
    <sheet name="KPI Negocio" sheetId="3" r:id="rId3"/>
    <sheet name="KPI Agiles" sheetId="4" r:id="rId4"/>
    <sheet name="Responsabl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4" l="1"/>
  <c r="D23" i="4"/>
</calcChain>
</file>

<file path=xl/sharedStrings.xml><?xml version="1.0" encoding="utf-8"?>
<sst xmlns="http://schemas.openxmlformats.org/spreadsheetml/2006/main" count="266" uniqueCount="227">
  <si>
    <t>BANCA ONLINE INTEGRAL</t>
  </si>
  <si>
    <t>Acuerdos de Nivel de Servicio (SLA) e Indicadores Clave de Desempeño (KPI)</t>
  </si>
  <si>
    <t>Universidad</t>
  </si>
  <si>
    <t>Universidad Tecnológica del Perú (UTP)</t>
  </si>
  <si>
    <t>Elaborado por</t>
  </si>
  <si>
    <t>Andersson Junior Espinoza Medina — Desarrollador de Datos</t>
  </si>
  <si>
    <t>Equipo Scrum</t>
  </si>
  <si>
    <t>Jair Pool Conislla Bocangel (Scrum Master) · Jeremy Piero Rojas Egusquiza (Backend) · Jheampierre Johayro Ralli Peralta (Frontend) · Andersson Junior Espinoza Medina (Datos) · Gonzales Flores, Gian Piero (QA y Seguridad)</t>
  </si>
  <si>
    <t>Año</t>
  </si>
  <si>
    <t>2026</t>
  </si>
  <si>
    <t>Propósito</t>
  </si>
  <si>
    <t>Este libro define los SLA (Acuerdos de Nivel de Servicio) y los KPI (Indicadores Clave de Desempeño) del proyecto Banca Online Integral: onboarding con KYC biométrico facial, autenticación, cuentas, transferencias, préstamos digitales, billetera/QR, motor transaccional, conciliación, fraude y cumplimiento.</t>
  </si>
  <si>
    <t>Contenido del libro</t>
  </si>
  <si>
    <t>SLA Tecnicos</t>
  </si>
  <si>
    <t>SLA por módulo: identidad/KYC, cuentas/transferencias, préstamos, QR/pagos, conciliación/fraude, disponibilidad.</t>
  </si>
  <si>
    <t>KPI Negocio</t>
  </si>
  <si>
    <t>Indicadores de desempeño del producto en operación (éxito de transacciones, onboarding, fraude, uptime, satisfacción).</t>
  </si>
  <si>
    <t>KPI Agiles</t>
  </si>
  <si>
    <t>Datos del backlog, velocity planificada por sprint e indicadores de seguimiento Scrum.</t>
  </si>
  <si>
    <t>Responsables</t>
  </si>
  <si>
    <t>Rol de cada integrante del equipo frente a los SLA/KPI.</t>
  </si>
  <si>
    <t>SLA técnicos por módulo</t>
  </si>
  <si>
    <t>Tiempos de respuesta y condiciones de servicio comprometidas por módulo funcional. Filtra por 'Categoría' para ver un módulo específico.</t>
  </si>
  <si>
    <t>Categoría</t>
  </si>
  <si>
    <t>Operación</t>
  </si>
  <si>
    <t>SLA objetivo</t>
  </si>
  <si>
    <t>Fuente / justificación</t>
  </si>
  <si>
    <t>Identidad, KYC y autenticación</t>
  </si>
  <si>
    <t>Validación de nitidez del documento (OCR/blur)</t>
  </si>
  <si>
    <t>≤ 2 s por imagen</t>
  </si>
  <si>
    <t>HU01 — Registro y KYC Biométrico</t>
  </si>
  <si>
    <t>Evaluación de un paso de liveness (/liveness/evaluate)</t>
  </si>
  <si>
    <t>&lt; 1 s por paso (solo MediaPipe)</t>
  </si>
  <si>
    <t>SERVICE.md §11.3 — evaluate_segment</t>
  </si>
  <si>
    <t>Vigencia del token de desafío de liveness</t>
  </si>
  <si>
    <t>180 s (configurable)</t>
  </si>
  <si>
    <t>SERVICE.md — CHALLENGE_TOKEN_TTL_SECONDS</t>
  </si>
  <si>
    <t>Verificación completa de identidad (verify-full)</t>
  </si>
  <si>
    <t>≤ 5 s</t>
  </si>
  <si>
    <t>SERVICE.md — DeepFace/RetinaFace, una sola vez al final</t>
  </si>
  <si>
    <t>Autenticación biométrica (login facial / huella / PIN)</t>
  </si>
  <si>
    <t>&lt; 1.5 s, con alternativa de PIN de contingencia</t>
  </si>
  <si>
    <t>HU02 — Autenticación BioFacial y Multi-factor</t>
  </si>
  <si>
    <t>Bloqueo de cuenta por intentos fallidos</t>
  </si>
  <si>
    <t>Bloqueo automático al 5.º intento fallido</t>
  </si>
  <si>
    <t>Criterio de aceptación CA-02, HU02</t>
  </si>
  <si>
    <t>Cierre de sesión por inactividad</t>
  </si>
  <si>
    <t>Según tiempo configurado por política de seguridad</t>
  </si>
  <si>
    <t>Criterio de aceptación CA-03, HU02</t>
  </si>
  <si>
    <t>Cuentas, transferencias y motor transaccional</t>
  </si>
  <si>
    <t>Procesamiento de una transacción (saldo, bloqueo de fondos, anti doble gasto)</t>
  </si>
  <si>
    <t>&lt; 200 ms</t>
  </si>
  <si>
    <t>HU17 — Motor Transaccional en Tiempo Real</t>
  </si>
  <si>
    <t>Consulta de saldos y movimientos</t>
  </si>
  <si>
    <t>&lt; 1 s (vista consolidada en tiempo real)</t>
  </si>
  <si>
    <t>HU05 — Consolidado de Cuentas y Saldos</t>
  </si>
  <si>
    <t>Transferencia propia o interbancaria inmediata</t>
  </si>
  <si>
    <t>Confirmación en línea, sin demora perceptible</t>
  </si>
  <si>
    <t>HU06 — Transferencias Propias e Interbancarias</t>
  </si>
  <si>
    <t>Registro contable en el libro mayor (partida doble)</t>
  </si>
  <si>
    <t>Atómico: débito y crédito en la misma operación o ninguno</t>
  </si>
  <si>
    <t>HU18 — Contabilidad en Libro Mayor de Partida Doble</t>
  </si>
  <si>
    <t>Autorización biométrica en pagos de alto monto</t>
  </si>
  <si>
    <t>Disparo inmediato de selfie al superar el umbral</t>
  </si>
  <si>
    <t>HU08 — Autorización Biométrico-Facial de Pagos Sensibles</t>
  </si>
  <si>
    <t>Préstamos digitales</t>
  </si>
  <si>
    <t>Simulación de crédito (monto, plazo, TCEA, cuota)</t>
  </si>
  <si>
    <t>Respuesta inmediata (cálculo en línea)</t>
  </si>
  <si>
    <t>HU09 — Simulador Inteligente de Créditos</t>
  </si>
  <si>
    <t>Evaluación crediticia automática</t>
  </si>
  <si>
    <t>Pre-calificación en minutos</t>
  </si>
  <si>
    <t>HU10 — Solicitud y Evaluación Crediticia Automática</t>
  </si>
  <si>
    <t>Firma digital del contrato de préstamo</t>
  </si>
  <si>
    <t>Generación y envío del pagaré el mismo día de la aprobación</t>
  </si>
  <si>
    <t>HU11 — Firma Digital de Contrato con Biometría Facial</t>
  </si>
  <si>
    <t>Desembolso tras aprobación</t>
  </si>
  <si>
    <t>Acreditación instantánea a la cuenta elegida</t>
  </si>
  <si>
    <t>HU12 — Desembolso Inmediato y Programación de Cuotas</t>
  </si>
  <si>
    <t>Billetera, QR y pagos</t>
  </si>
  <si>
    <t>Generación de QR dinámico/estático</t>
  </si>
  <si>
    <t>Inmediata, con caducidad parametrizable</t>
  </si>
  <si>
    <t>HU14 — Generación y Cobro con QR Dinámico/Estático</t>
  </si>
  <si>
    <t>Lectura y validación de QR</t>
  </si>
  <si>
    <t>Alta velocidad; rechazo antes de afectar saldo si el QR está vencido/alterado</t>
  </si>
  <si>
    <t>HU15 — Lectura y Confirmación de Pago QR; CA-02 HU16</t>
  </si>
  <si>
    <t>Confirmación de pago QR con biometría/PIN/OTP</t>
  </si>
  <si>
    <t>Una sola autorización por pago (idempotencia)</t>
  </si>
  <si>
    <t>HU16 — Pago QR; CA-01/CA-03</t>
  </si>
  <si>
    <t>Conciliación, fraude y cumplimiento</t>
  </si>
  <si>
    <t>Conciliación bancaria y de redes de pago</t>
  </si>
  <si>
    <t>Ejecución automática programada (ciclo diario)</t>
  </si>
  <si>
    <t>HU19 — Conciliación Bancaria y Redes de Pago</t>
  </si>
  <si>
    <t>Alerta antifraude (suplantación facial, geolocalización atípica, transacción inusual)</t>
  </si>
  <si>
    <t>Alerta en tiempo real / near real-time</t>
  </si>
  <si>
    <t>HU20 — Motor Antifraude por Reglas y Anomalías Biométricas</t>
  </si>
  <si>
    <t>Cotejo contra listas restrictivas (OFAC, World-Check, PEP)</t>
  </si>
  <si>
    <t>Verificación en tiempo real en onboarding y transferencias</t>
  </si>
  <si>
    <t>HU21 — Cumplimiento PLDFT / AML</t>
  </si>
  <si>
    <t>Notificación de seguridad al cliente (push/correo)</t>
  </si>
  <si>
    <t>Envío inmediato tras la transacción o login biométrico</t>
  </si>
  <si>
    <t>HU22 — Notificaciones de Seguridad Multicanal</t>
  </si>
  <si>
    <t>Disponibilidad general (propuesta)</t>
  </si>
  <si>
    <t>Disponibilidad de la plataforma (uptime)</t>
  </si>
  <si>
    <t>≥ 99.5 % mensual</t>
  </si>
  <si>
    <t>Referencia de industria — ajustar según rúbrica del curso</t>
  </si>
  <si>
    <t>Ventana de mantenimiento programado</t>
  </si>
  <si>
    <t>Fuera de horario pico, con aviso previo</t>
  </si>
  <si>
    <t>No cuenta como caída para el cálculo de uptime</t>
  </si>
  <si>
    <t>Respuesta de soporte ante incidente crítico</t>
  </si>
  <si>
    <t>≤ 30 min reconocer, ≤ 4 h mitigar</t>
  </si>
  <si>
    <t>Referencial — alinear con política de incidentes del curso</t>
  </si>
  <si>
    <t>KPIs de negocio y operación</t>
  </si>
  <si>
    <t>Miden el desempeño del producto una vez en funcionamiento. Los KPI sin historia de usuario asociada son metas de referencia de la industria bancaria/fintech: validarlas con el docente.</t>
  </si>
  <si>
    <t>KPI</t>
  </si>
  <si>
    <t>Definición / fórmula</t>
  </si>
  <si>
    <t>Meta propuesta</t>
  </si>
  <si>
    <t>Frecuencia</t>
  </si>
  <si>
    <t>Tasa de éxito de transacciones</t>
  </si>
  <si>
    <t>Transacciones completadas / transacciones iniciadas</t>
  </si>
  <si>
    <t>≥ 99 %</t>
  </si>
  <si>
    <t>Diaria</t>
  </si>
  <si>
    <t>Tiempo medio de procesamiento transaccional</t>
  </si>
  <si>
    <t>Promedio de latencia del motor transaccional (HU17)</t>
  </si>
  <si>
    <t>Continua / por lote diario</t>
  </si>
  <si>
    <t>Tasa de finalización de onboarding KYC</t>
  </si>
  <si>
    <t>Registros que completan liveness + verify-full / registros iniciados</t>
  </si>
  <si>
    <t>≥ 85 %</t>
  </si>
  <si>
    <t>Semanal</t>
  </si>
  <si>
    <t>Tiempo promedio de onboarding</t>
  </si>
  <si>
    <t>Desde inicio de registro hasta cuenta activada</t>
  </si>
  <si>
    <t>&lt; 5 min</t>
  </si>
  <si>
    <t>Tasa de detección/prevención de fraude</t>
  </si>
  <si>
    <t>Casos de fraude bloqueados / casos de fraude intentados detectados</t>
  </si>
  <si>
    <t>≥ 95 % de patrones conocidos</t>
  </si>
  <si>
    <t>Mensual</t>
  </si>
  <si>
    <t>Falsos positivos del motor antifraude</t>
  </si>
  <si>
    <t>Alertas sin fraude real / total de alertas</t>
  </si>
  <si>
    <t>&lt; 5 %</t>
  </si>
  <si>
    <t>Tasa de aprobación crediticia automática</t>
  </si>
  <si>
    <t>Solicitudes resueltas sin intervención manual / total de solicitudes</t>
  </si>
  <si>
    <t>≥ 70 %</t>
  </si>
  <si>
    <t>Diferencias no resueltas en conciliación</t>
  </si>
  <si>
    <t>Partidas pendientes tras el ciclo de conciliación diario</t>
  </si>
  <si>
    <t>0 al cierre del día hábil</t>
  </si>
  <si>
    <t>Disponibilidad del sistema (uptime)</t>
  </si>
  <si>
    <t>Tiempo operativo / tiempo total del periodo</t>
  </si>
  <si>
    <t>≥ 99.5 %</t>
  </si>
  <si>
    <t>Satisfacción del cliente (CSAT/NPS)</t>
  </si>
  <si>
    <t>Encuesta post-operación (transferencia, préstamo, soporte)</t>
  </si>
  <si>
    <t>NPS ≥ 40</t>
  </si>
  <si>
    <t>Trimestral</t>
  </si>
  <si>
    <t>Datos base del backlog</t>
  </si>
  <si>
    <t>Indicador</t>
  </si>
  <si>
    <t>Valor</t>
  </si>
  <si>
    <t>Historias de usuario totales</t>
  </si>
  <si>
    <t>Historias con prioridad Must</t>
  </si>
  <si>
    <t>Historias incluidas en el MVP</t>
  </si>
  <si>
    <t>Épicas</t>
  </si>
  <si>
    <t>Story points del MVP (resumen ejecutivo)</t>
  </si>
  <si>
    <t>Story points totales planificados en los 6 sprints</t>
  </si>
  <si>
    <t>Sprints estimados</t>
  </si>
  <si>
    <t>6 (12 semanas)</t>
  </si>
  <si>
    <t>Velocity por sprint (planificado)</t>
  </si>
  <si>
    <t>Sprint</t>
  </si>
  <si>
    <t>Objetivo</t>
  </si>
  <si>
    <t>Historias</t>
  </si>
  <si>
    <t>Story points</t>
  </si>
  <si>
    <t>Duración</t>
  </si>
  <si>
    <t>Sprint 1</t>
  </si>
  <si>
    <t>Identidad, autenticación y gobierno de accesos</t>
  </si>
  <si>
    <t>HU01–HU04</t>
  </si>
  <si>
    <t>2 sem.</t>
  </si>
  <si>
    <t>Sprint 2</t>
  </si>
  <si>
    <t>Cuentas, motor transaccional y libro mayor</t>
  </si>
  <si>
    <t>HU05, HU17–HU18</t>
  </si>
  <si>
    <t>Sprint 3</t>
  </si>
  <si>
    <t>Transferencias propias/terceros y antifraude</t>
  </si>
  <si>
    <t>HU06–HU08, HU20</t>
  </si>
  <si>
    <t>Sprint 4</t>
  </si>
  <si>
    <t>Ciclo digital de préstamos</t>
  </si>
  <si>
    <t>HU09–HU12</t>
  </si>
  <si>
    <t>Sprint 5</t>
  </si>
  <si>
    <t>Billetera y pagos QR interoperables</t>
  </si>
  <si>
    <t>HU13–HU16</t>
  </si>
  <si>
    <t>Sprint 6</t>
  </si>
  <si>
    <t>Conciliación, cumplimiento, alertas y estabilización</t>
  </si>
  <si>
    <t>HU19, HU21–HU22</t>
  </si>
  <si>
    <t>Total</t>
  </si>
  <si>
    <t>Velocity promedio planificada (pts/sprint)</t>
  </si>
  <si>
    <t>Indicadores de seguimiento ágil</t>
  </si>
  <si>
    <t>Velocity real por sprint</t>
  </si>
  <si>
    <t>Story points completados y aceptados / sprint</t>
  </si>
  <si>
    <t>≥ 90 % de lo planificado (≈ 23–24 pts)</t>
  </si>
  <si>
    <t>Por sprint</t>
  </si>
  <si>
    <t>Cumplimiento de historias Must</t>
  </si>
  <si>
    <t>Historias Must completadas / historias Must planificadas</t>
  </si>
  <si>
    <t>100 %</t>
  </si>
  <si>
    <t>Por sprint y acumulado</t>
  </si>
  <si>
    <t>Porcentaje de avance del MVP</t>
  </si>
  <si>
    <t>Story points completados acumulados / 149–156 totales</t>
  </si>
  <si>
    <t>Progresión lineal esperada ≈ 26 pts/sprint</t>
  </si>
  <si>
    <t>Tasa de defectos por historia</t>
  </si>
  <si>
    <t>Defectos encontrados en QA / historias entregadas en el sprint</t>
  </si>
  <si>
    <t>&lt; 1 defecto crítico por historia</t>
  </si>
  <si>
    <t>Criterios de aceptación cumplidos</t>
  </si>
  <si>
    <t>CA verificados y aprobados / CA definidos del sprint</t>
  </si>
  <si>
    <t>100 % antes de dar la historia por Done</t>
  </si>
  <si>
    <t>Cumplimiento del cronograma general (18 semanas)</t>
  </si>
  <si>
    <t>Hitos T01–T16 completados en la semana planificada</t>
  </si>
  <si>
    <t>0 desviaciones mayores a 1 semana</t>
  </si>
  <si>
    <t>Impedimentos abiertos</t>
  </si>
  <si>
    <t>Impedimentos reportados en daily sin resolver</t>
  </si>
  <si>
    <t>0 al cierre del sprint</t>
  </si>
  <si>
    <t>Diaria (daily scrum)</t>
  </si>
  <si>
    <t>Responsables de seguimiento</t>
  </si>
  <si>
    <t>Rol</t>
  </si>
  <si>
    <t>Responsabilidad sobre SLA/KPI</t>
  </si>
  <si>
    <t>Scrum Master (Jair Pool Conislla Bocangel)</t>
  </si>
  <si>
    <t>Da seguimiento a velocity, cumplimiento del backlog e impedimentos; reporta el avance del cronograma de 18 semanas.</t>
  </si>
  <si>
    <t>Desarrollador Backend (Jeremy Piero Rojas Egusquiza)</t>
  </si>
  <si>
    <t>Responde por los SLA de autenticación, cuentas y transferencias.</t>
  </si>
  <si>
    <t>Desarrollador Frontend (Jheampierre Johayro Ralli Peralta)</t>
  </si>
  <si>
    <t>Responde por los SLA de experiencia de usuario en billetera, QR y accesibilidad.</t>
  </si>
  <si>
    <t>Desarrollador de Datos (Andersson Junior Espinoza Medina)</t>
  </si>
  <si>
    <t>Responde por los SLA del motor transaccional, libro mayor, préstamos y conciliación; documenta este apartado de SLA/KPI.</t>
  </si>
  <si>
    <t>Desarrollador QA y Seguridad (Gonzales Flores, Gian Piero)</t>
  </si>
  <si>
    <t>Valida el cumplimiento de criterios de aceptación, KPIs de fraude/seguridad y tasa de defectos.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</si>
</sst>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1"/>
    </font>
    <font>
      <b/>
      <sz val="20"/>
      <color rgb="FF1F3864"/>
      <name val="Calibri"/>
      <charset val="1"/>
    </font>
    <font>
      <b/>
      <sz val="13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2"/>
      <color rgb="FF1F3864"/>
      <name val="Calibri"/>
      <charset val="1"/>
    </font>
    <font>
      <i/>
      <sz val="10.5"/>
      <name val="Calibri"/>
      <charset val="1"/>
    </font>
    <font>
      <b/>
      <sz val="10.5"/>
      <name val="Calibri"/>
      <charset val="1"/>
    </font>
    <font>
      <sz val="10.5"/>
      <name val="Calibri"/>
      <charset val="1"/>
    </font>
    <font>
      <b/>
      <sz val="13"/>
      <color rgb="FF1F3864"/>
      <name val="Calibri"/>
      <charset val="1"/>
    </font>
    <font>
      <i/>
      <sz val="9.5"/>
      <color rgb="FF555555"/>
      <name val="Calibri"/>
      <charset val="1"/>
    </font>
    <font>
      <b/>
      <sz val="11"/>
      <color rgb="FFFFFFFF"/>
      <name val="Calibri"/>
      <charset val="1"/>
    </font>
    <font>
      <i/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0" fillId="0" borderId="0" xfId="0" applyFont="1" applyAlignment="1">
      <alignment vertical="top" wrapText="1"/>
    </xf>
    <xf numFmtId="0" fontId="10" fillId="0" borderId="0" xfId="0" applyFont="1"/>
    <xf numFmtId="0" fontId="6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0" fillId="4" borderId="1" xfId="0" applyFill="1" applyBorder="1"/>
    <xf numFmtId="0" fontId="12" fillId="0" borderId="0" xfId="0" applyFont="1"/>
    <xf numFmtId="164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LATecnicos" displayName="SLATecnicos" ref="A4:D30" totalsRowShown="0">
  <autoFilter ref="A4:D30" xr:uid="{00000000-0009-0000-0100-000003000000}"/>
  <tableColumns count="4">
    <tableColumn id="1" xr3:uid="{00000000-0010-0000-0000-000001000000}" name="Categoría"/>
    <tableColumn id="2" xr3:uid="{00000000-0010-0000-0000-000002000000}" name="Operación"/>
    <tableColumn id="3" xr3:uid="{00000000-0010-0000-0000-000003000000}" name="SLA objetivo"/>
    <tableColumn id="4" xr3:uid="{00000000-0010-0000-0000-000004000000}" name="Fuente / justificació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KPINegocio" displayName="KPINegocio" ref="A4:D14" totalsRowShown="0">
  <autoFilter ref="A4:D14" xr:uid="{00000000-0009-0000-0100-000001000000}"/>
  <tableColumns count="4">
    <tableColumn id="1" xr3:uid="{00000000-0010-0000-0100-000001000000}" name="KPI"/>
    <tableColumn id="2" xr3:uid="{00000000-0010-0000-0100-000002000000}" name="Definición / fórmula"/>
    <tableColumn id="3" xr3:uid="{00000000-0010-0000-0100-000003000000}" name="Meta propuesta"/>
    <tableColumn id="4" xr3:uid="{00000000-0010-0000-0100-000004000000}" name="Frecuenci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esponsables" displayName="Responsables" ref="A4:B9" totalsRowShown="0">
  <autoFilter ref="A4:B9" xr:uid="{00000000-0009-0000-0100-000002000000}"/>
  <tableColumns count="2">
    <tableColumn id="1" xr3:uid="{00000000-0010-0000-0200-000001000000}" name="Scrum Master (Jair Pool Conislla Bocangel)"/>
    <tableColumn id="2" xr3:uid="{00000000-0010-0000-0200-000002000000}" name="Da seguimiento a velocity, cumplimiento del backlog e impedimentos; reporta el avance del cronograma de 18 semanas.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zoomScaleNormal="100" workbookViewId="0">
      <selection activeCell="B6" sqref="B6"/>
    </sheetView>
  </sheetViews>
  <sheetFormatPr baseColWidth="10" defaultColWidth="8.7109375" defaultRowHeight="15" x14ac:dyDescent="0.25"/>
  <cols>
    <col min="1" max="1" width="47.7109375" customWidth="1"/>
    <col min="2" max="2" width="70" customWidth="1"/>
  </cols>
  <sheetData>
    <row r="1" spans="1:2" ht="26.25" x14ac:dyDescent="0.4">
      <c r="A1" s="5" t="s">
        <v>0</v>
      </c>
    </row>
    <row r="2" spans="1:2" ht="17.100000000000001" customHeight="1" x14ac:dyDescent="0.3">
      <c r="A2" s="4" t="s">
        <v>1</v>
      </c>
      <c r="B2" s="4"/>
    </row>
    <row r="4" spans="1:2" ht="30" customHeight="1" x14ac:dyDescent="0.25">
      <c r="A4" s="6" t="s">
        <v>2</v>
      </c>
      <c r="B4" s="7" t="s">
        <v>3</v>
      </c>
    </row>
    <row r="6" spans="1:2" ht="30" customHeight="1" x14ac:dyDescent="0.25">
      <c r="A6" s="6" t="s">
        <v>4</v>
      </c>
      <c r="B6" s="7" t="s">
        <v>5</v>
      </c>
    </row>
    <row r="8" spans="1:2" ht="30" customHeight="1" x14ac:dyDescent="0.25">
      <c r="A8" s="6" t="s">
        <v>6</v>
      </c>
      <c r="B8" s="7" t="s">
        <v>7</v>
      </c>
    </row>
    <row r="10" spans="1:2" ht="30" customHeight="1" x14ac:dyDescent="0.25">
      <c r="A10" s="6" t="s">
        <v>8</v>
      </c>
      <c r="B10" s="7" t="s">
        <v>9</v>
      </c>
    </row>
    <row r="13" spans="1:2" ht="15.75" x14ac:dyDescent="0.25">
      <c r="A13" s="8" t="s">
        <v>10</v>
      </c>
    </row>
    <row r="14" spans="1:2" ht="60" customHeight="1" x14ac:dyDescent="0.25">
      <c r="A14" s="3" t="s">
        <v>11</v>
      </c>
      <c r="B14" s="3"/>
    </row>
    <row r="16" spans="1:2" ht="15.75" x14ac:dyDescent="0.25">
      <c r="A16" s="8" t="s">
        <v>12</v>
      </c>
    </row>
    <row r="17" spans="1:2" ht="27.75" customHeight="1" x14ac:dyDescent="0.25">
      <c r="A17" s="9" t="s">
        <v>13</v>
      </c>
      <c r="B17" s="10" t="s">
        <v>14</v>
      </c>
    </row>
    <row r="18" spans="1:2" ht="27.75" customHeight="1" x14ac:dyDescent="0.25">
      <c r="A18" s="9" t="s">
        <v>15</v>
      </c>
      <c r="B18" s="10" t="s">
        <v>16</v>
      </c>
    </row>
    <row r="19" spans="1:2" ht="27.75" customHeight="1" x14ac:dyDescent="0.25">
      <c r="A19" s="9" t="s">
        <v>17</v>
      </c>
      <c r="B19" s="10" t="s">
        <v>18</v>
      </c>
    </row>
    <row r="20" spans="1:2" ht="27.75" customHeight="1" x14ac:dyDescent="0.25">
      <c r="A20" s="9" t="s">
        <v>19</v>
      </c>
      <c r="B20" s="10" t="s">
        <v>20</v>
      </c>
    </row>
  </sheetData>
  <mergeCells count="2">
    <mergeCell ref="A2:B2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30" customWidth="1"/>
    <col min="2" max="2" width="46" customWidth="1"/>
    <col min="3" max="3" width="34" customWidth="1"/>
    <col min="4" max="4" width="44" customWidth="1"/>
  </cols>
  <sheetData>
    <row r="1" spans="1:4" ht="17.25" x14ac:dyDescent="0.3">
      <c r="A1" s="11" t="s">
        <v>21</v>
      </c>
    </row>
    <row r="2" spans="1:4" ht="27.75" customHeight="1" x14ac:dyDescent="0.25">
      <c r="A2" s="2" t="s">
        <v>22</v>
      </c>
      <c r="B2" s="2"/>
      <c r="C2" s="2"/>
      <c r="D2" s="2"/>
    </row>
    <row r="4" spans="1:4" ht="30" customHeight="1" x14ac:dyDescent="0.25">
      <c r="A4" s="12" t="s">
        <v>23</v>
      </c>
      <c r="B4" s="12" t="s">
        <v>24</v>
      </c>
      <c r="C4" s="12" t="s">
        <v>25</v>
      </c>
      <c r="D4" s="12" t="s">
        <v>26</v>
      </c>
    </row>
    <row r="5" spans="1:4" x14ac:dyDescent="0.25">
      <c r="A5" s="13" t="s">
        <v>27</v>
      </c>
      <c r="B5" s="13" t="s">
        <v>28</v>
      </c>
      <c r="C5" s="13" t="s">
        <v>29</v>
      </c>
      <c r="D5" s="13" t="s">
        <v>30</v>
      </c>
    </row>
    <row r="6" spans="1:4" x14ac:dyDescent="0.25">
      <c r="A6" s="14" t="s">
        <v>27</v>
      </c>
      <c r="B6" s="14" t="s">
        <v>31</v>
      </c>
      <c r="C6" s="14" t="s">
        <v>32</v>
      </c>
      <c r="D6" s="14" t="s">
        <v>33</v>
      </c>
    </row>
    <row r="7" spans="1:4" x14ac:dyDescent="0.25">
      <c r="A7" s="13" t="s">
        <v>27</v>
      </c>
      <c r="B7" s="13" t="s">
        <v>34</v>
      </c>
      <c r="C7" s="13" t="s">
        <v>35</v>
      </c>
      <c r="D7" s="13" t="s">
        <v>36</v>
      </c>
    </row>
    <row r="8" spans="1:4" ht="28.5" x14ac:dyDescent="0.25">
      <c r="A8" s="14" t="s">
        <v>27</v>
      </c>
      <c r="B8" s="14" t="s">
        <v>37</v>
      </c>
      <c r="C8" s="14" t="s">
        <v>38</v>
      </c>
      <c r="D8" s="14" t="s">
        <v>39</v>
      </c>
    </row>
    <row r="9" spans="1:4" ht="28.5" x14ac:dyDescent="0.25">
      <c r="A9" s="13" t="s">
        <v>27</v>
      </c>
      <c r="B9" s="13" t="s">
        <v>40</v>
      </c>
      <c r="C9" s="13" t="s">
        <v>41</v>
      </c>
      <c r="D9" s="13" t="s">
        <v>42</v>
      </c>
    </row>
    <row r="10" spans="1:4" ht="28.5" x14ac:dyDescent="0.25">
      <c r="A10" s="14" t="s">
        <v>27</v>
      </c>
      <c r="B10" s="14" t="s">
        <v>43</v>
      </c>
      <c r="C10" s="14" t="s">
        <v>44</v>
      </c>
      <c r="D10" s="14" t="s">
        <v>45</v>
      </c>
    </row>
    <row r="11" spans="1:4" ht="28.5" x14ac:dyDescent="0.25">
      <c r="A11" s="13" t="s">
        <v>27</v>
      </c>
      <c r="B11" s="13" t="s">
        <v>46</v>
      </c>
      <c r="C11" s="13" t="s">
        <v>47</v>
      </c>
      <c r="D11" s="13" t="s">
        <v>48</v>
      </c>
    </row>
    <row r="12" spans="1:4" ht="28.5" x14ac:dyDescent="0.25">
      <c r="A12" s="14" t="s">
        <v>49</v>
      </c>
      <c r="B12" s="14" t="s">
        <v>50</v>
      </c>
      <c r="C12" s="14" t="s">
        <v>51</v>
      </c>
      <c r="D12" s="14" t="s">
        <v>52</v>
      </c>
    </row>
    <row r="13" spans="1:4" ht="28.5" x14ac:dyDescent="0.25">
      <c r="A13" s="13" t="s">
        <v>49</v>
      </c>
      <c r="B13" s="13" t="s">
        <v>53</v>
      </c>
      <c r="C13" s="13" t="s">
        <v>54</v>
      </c>
      <c r="D13" s="13" t="s">
        <v>55</v>
      </c>
    </row>
    <row r="14" spans="1:4" ht="28.5" x14ac:dyDescent="0.25">
      <c r="A14" s="14" t="s">
        <v>49</v>
      </c>
      <c r="B14" s="14" t="s">
        <v>56</v>
      </c>
      <c r="C14" s="14" t="s">
        <v>57</v>
      </c>
      <c r="D14" s="14" t="s">
        <v>58</v>
      </c>
    </row>
    <row r="15" spans="1:4" ht="28.5" x14ac:dyDescent="0.25">
      <c r="A15" s="13" t="s">
        <v>49</v>
      </c>
      <c r="B15" s="13" t="s">
        <v>59</v>
      </c>
      <c r="C15" s="13" t="s">
        <v>60</v>
      </c>
      <c r="D15" s="13" t="s">
        <v>61</v>
      </c>
    </row>
    <row r="16" spans="1:4" ht="28.5" x14ac:dyDescent="0.25">
      <c r="A16" s="14" t="s">
        <v>49</v>
      </c>
      <c r="B16" s="14" t="s">
        <v>62</v>
      </c>
      <c r="C16" s="14" t="s">
        <v>63</v>
      </c>
      <c r="D16" s="14" t="s">
        <v>64</v>
      </c>
    </row>
    <row r="17" spans="1:4" x14ac:dyDescent="0.25">
      <c r="A17" s="13" t="s">
        <v>65</v>
      </c>
      <c r="B17" s="13" t="s">
        <v>66</v>
      </c>
      <c r="C17" s="13" t="s">
        <v>67</v>
      </c>
      <c r="D17" s="13" t="s">
        <v>68</v>
      </c>
    </row>
    <row r="18" spans="1:4" x14ac:dyDescent="0.25">
      <c r="A18" s="14" t="s">
        <v>65</v>
      </c>
      <c r="B18" s="14" t="s">
        <v>69</v>
      </c>
      <c r="C18" s="14" t="s">
        <v>70</v>
      </c>
      <c r="D18" s="14" t="s">
        <v>71</v>
      </c>
    </row>
    <row r="19" spans="1:4" ht="28.5" x14ac:dyDescent="0.25">
      <c r="A19" s="13" t="s">
        <v>65</v>
      </c>
      <c r="B19" s="13" t="s">
        <v>72</v>
      </c>
      <c r="C19" s="13" t="s">
        <v>73</v>
      </c>
      <c r="D19" s="13" t="s">
        <v>74</v>
      </c>
    </row>
    <row r="20" spans="1:4" ht="28.5" x14ac:dyDescent="0.25">
      <c r="A20" s="14" t="s">
        <v>65</v>
      </c>
      <c r="B20" s="14" t="s">
        <v>75</v>
      </c>
      <c r="C20" s="14" t="s">
        <v>76</v>
      </c>
      <c r="D20" s="14" t="s">
        <v>77</v>
      </c>
    </row>
    <row r="21" spans="1:4" ht="28.5" x14ac:dyDescent="0.25">
      <c r="A21" s="13" t="s">
        <v>78</v>
      </c>
      <c r="B21" s="13" t="s">
        <v>79</v>
      </c>
      <c r="C21" s="13" t="s">
        <v>80</v>
      </c>
      <c r="D21" s="13" t="s">
        <v>81</v>
      </c>
    </row>
    <row r="22" spans="1:4" ht="28.5" x14ac:dyDescent="0.25">
      <c r="A22" s="14" t="s">
        <v>78</v>
      </c>
      <c r="B22" s="14" t="s">
        <v>82</v>
      </c>
      <c r="C22" s="14" t="s">
        <v>83</v>
      </c>
      <c r="D22" s="14" t="s">
        <v>84</v>
      </c>
    </row>
    <row r="23" spans="1:4" ht="28.5" x14ac:dyDescent="0.25">
      <c r="A23" s="13" t="s">
        <v>78</v>
      </c>
      <c r="B23" s="13" t="s">
        <v>85</v>
      </c>
      <c r="C23" s="13" t="s">
        <v>86</v>
      </c>
      <c r="D23" s="13" t="s">
        <v>87</v>
      </c>
    </row>
    <row r="24" spans="1:4" ht="28.5" x14ac:dyDescent="0.25">
      <c r="A24" s="14" t="s">
        <v>88</v>
      </c>
      <c r="B24" s="14" t="s">
        <v>89</v>
      </c>
      <c r="C24" s="14" t="s">
        <v>90</v>
      </c>
      <c r="D24" s="14" t="s">
        <v>91</v>
      </c>
    </row>
    <row r="25" spans="1:4" ht="28.5" x14ac:dyDescent="0.25">
      <c r="A25" s="13" t="s">
        <v>88</v>
      </c>
      <c r="B25" s="13" t="s">
        <v>92</v>
      </c>
      <c r="C25" s="13" t="s">
        <v>93</v>
      </c>
      <c r="D25" s="13" t="s">
        <v>94</v>
      </c>
    </row>
    <row r="26" spans="1:4" ht="28.5" x14ac:dyDescent="0.25">
      <c r="A26" s="14" t="s">
        <v>88</v>
      </c>
      <c r="B26" s="14" t="s">
        <v>95</v>
      </c>
      <c r="C26" s="14" t="s">
        <v>96</v>
      </c>
      <c r="D26" s="14" t="s">
        <v>97</v>
      </c>
    </row>
    <row r="27" spans="1:4" ht="28.5" x14ac:dyDescent="0.25">
      <c r="A27" s="13" t="s">
        <v>88</v>
      </c>
      <c r="B27" s="13" t="s">
        <v>98</v>
      </c>
      <c r="C27" s="13" t="s">
        <v>99</v>
      </c>
      <c r="D27" s="13" t="s">
        <v>100</v>
      </c>
    </row>
    <row r="28" spans="1:4" ht="28.5" x14ac:dyDescent="0.25">
      <c r="A28" s="14" t="s">
        <v>101</v>
      </c>
      <c r="B28" s="14" t="s">
        <v>102</v>
      </c>
      <c r="C28" s="14" t="s">
        <v>103</v>
      </c>
      <c r="D28" s="14" t="s">
        <v>104</v>
      </c>
    </row>
    <row r="29" spans="1:4" x14ac:dyDescent="0.25">
      <c r="A29" s="13" t="s">
        <v>101</v>
      </c>
      <c r="B29" s="13" t="s">
        <v>105</v>
      </c>
      <c r="C29" s="13" t="s">
        <v>106</v>
      </c>
      <c r="D29" s="13" t="s">
        <v>107</v>
      </c>
    </row>
    <row r="30" spans="1:4" ht="28.5" x14ac:dyDescent="0.25">
      <c r="A30" s="14" t="s">
        <v>101</v>
      </c>
      <c r="B30" s="14" t="s">
        <v>108</v>
      </c>
      <c r="C30" s="14" t="s">
        <v>109</v>
      </c>
      <c r="D30" s="14" t="s">
        <v>110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32" customWidth="1"/>
    <col min="2" max="2" width="48" customWidth="1"/>
    <col min="3" max="4" width="22" customWidth="1"/>
  </cols>
  <sheetData>
    <row r="1" spans="1:4" ht="17.25" x14ac:dyDescent="0.3">
      <c r="A1" s="11" t="s">
        <v>111</v>
      </c>
    </row>
    <row r="2" spans="1:4" ht="27.75" customHeight="1" x14ac:dyDescent="0.25">
      <c r="A2" s="2" t="s">
        <v>112</v>
      </c>
      <c r="B2" s="2"/>
      <c r="C2" s="2"/>
      <c r="D2" s="2"/>
    </row>
    <row r="4" spans="1:4" ht="30" customHeight="1" x14ac:dyDescent="0.25">
      <c r="A4" s="12" t="s">
        <v>113</v>
      </c>
      <c r="B4" s="12" t="s">
        <v>114</v>
      </c>
      <c r="C4" s="12" t="s">
        <v>115</v>
      </c>
      <c r="D4" s="12" t="s">
        <v>116</v>
      </c>
    </row>
    <row r="5" spans="1:4" x14ac:dyDescent="0.25">
      <c r="A5" s="13" t="s">
        <v>117</v>
      </c>
      <c r="B5" s="13" t="s">
        <v>118</v>
      </c>
      <c r="C5" s="13" t="s">
        <v>119</v>
      </c>
      <c r="D5" s="13" t="s">
        <v>120</v>
      </c>
    </row>
    <row r="6" spans="1:4" ht="28.5" x14ac:dyDescent="0.25">
      <c r="A6" s="14" t="s">
        <v>121</v>
      </c>
      <c r="B6" s="14" t="s">
        <v>122</v>
      </c>
      <c r="C6" s="14" t="s">
        <v>51</v>
      </c>
      <c r="D6" s="14" t="s">
        <v>123</v>
      </c>
    </row>
    <row r="7" spans="1:4" ht="28.5" x14ac:dyDescent="0.25">
      <c r="A7" s="13" t="s">
        <v>124</v>
      </c>
      <c r="B7" s="13" t="s">
        <v>125</v>
      </c>
      <c r="C7" s="13" t="s">
        <v>126</v>
      </c>
      <c r="D7" s="13" t="s">
        <v>127</v>
      </c>
    </row>
    <row r="8" spans="1:4" x14ac:dyDescent="0.25">
      <c r="A8" s="14" t="s">
        <v>128</v>
      </c>
      <c r="B8" s="14" t="s">
        <v>129</v>
      </c>
      <c r="C8" s="14" t="s">
        <v>130</v>
      </c>
      <c r="D8" s="14" t="s">
        <v>127</v>
      </c>
    </row>
    <row r="9" spans="1:4" ht="28.5" x14ac:dyDescent="0.25">
      <c r="A9" s="13" t="s">
        <v>131</v>
      </c>
      <c r="B9" s="13" t="s">
        <v>132</v>
      </c>
      <c r="C9" s="13" t="s">
        <v>133</v>
      </c>
      <c r="D9" s="13" t="s">
        <v>134</v>
      </c>
    </row>
    <row r="10" spans="1:4" x14ac:dyDescent="0.25">
      <c r="A10" s="14" t="s">
        <v>135</v>
      </c>
      <c r="B10" s="14" t="s">
        <v>136</v>
      </c>
      <c r="C10" s="14" t="s">
        <v>137</v>
      </c>
      <c r="D10" s="14" t="s">
        <v>134</v>
      </c>
    </row>
    <row r="11" spans="1:4" ht="28.5" x14ac:dyDescent="0.25">
      <c r="A11" s="13" t="s">
        <v>138</v>
      </c>
      <c r="B11" s="13" t="s">
        <v>139</v>
      </c>
      <c r="C11" s="13" t="s">
        <v>140</v>
      </c>
      <c r="D11" s="13" t="s">
        <v>134</v>
      </c>
    </row>
    <row r="12" spans="1:4" ht="28.5" x14ac:dyDescent="0.25">
      <c r="A12" s="14" t="s">
        <v>141</v>
      </c>
      <c r="B12" s="14" t="s">
        <v>142</v>
      </c>
      <c r="C12" s="14" t="s">
        <v>143</v>
      </c>
      <c r="D12" s="14" t="s">
        <v>120</v>
      </c>
    </row>
    <row r="13" spans="1:4" x14ac:dyDescent="0.25">
      <c r="A13" s="13" t="s">
        <v>144</v>
      </c>
      <c r="B13" s="13" t="s">
        <v>145</v>
      </c>
      <c r="C13" s="13" t="s">
        <v>146</v>
      </c>
      <c r="D13" s="13" t="s">
        <v>134</v>
      </c>
    </row>
    <row r="14" spans="1:4" ht="28.5" x14ac:dyDescent="0.25">
      <c r="A14" s="14" t="s">
        <v>147</v>
      </c>
      <c r="B14" s="14" t="s">
        <v>148</v>
      </c>
      <c r="C14" s="14" t="s">
        <v>149</v>
      </c>
      <c r="D14" s="14" t="s">
        <v>150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showGridLines="0" topLeftCell="A33" zoomScaleNormal="100" workbookViewId="0">
      <selection activeCell="C12" sqref="C12"/>
    </sheetView>
  </sheetViews>
  <sheetFormatPr baseColWidth="10" defaultColWidth="8.7109375" defaultRowHeight="15" x14ac:dyDescent="0.25"/>
  <cols>
    <col min="1" max="1" width="34" customWidth="1"/>
    <col min="2" max="2" width="46" customWidth="1"/>
    <col min="3" max="3" width="30" customWidth="1"/>
    <col min="4" max="4" width="18" customWidth="1"/>
    <col min="5" max="5" width="12" customWidth="1"/>
  </cols>
  <sheetData>
    <row r="1" spans="1:5" ht="17.25" x14ac:dyDescent="0.3">
      <c r="A1" s="11" t="s">
        <v>151</v>
      </c>
    </row>
    <row r="3" spans="1:5" x14ac:dyDescent="0.25">
      <c r="A3" s="12" t="s">
        <v>152</v>
      </c>
      <c r="B3" s="12" t="s">
        <v>153</v>
      </c>
    </row>
    <row r="4" spans="1:5" x14ac:dyDescent="0.25">
      <c r="A4" s="13" t="s">
        <v>154</v>
      </c>
      <c r="B4" s="13">
        <v>22</v>
      </c>
    </row>
    <row r="5" spans="1:5" x14ac:dyDescent="0.25">
      <c r="A5" s="14" t="s">
        <v>155</v>
      </c>
      <c r="B5" s="14">
        <v>18</v>
      </c>
    </row>
    <row r="6" spans="1:5" x14ac:dyDescent="0.25">
      <c r="A6" s="13" t="s">
        <v>156</v>
      </c>
      <c r="B6" s="13">
        <v>22</v>
      </c>
    </row>
    <row r="7" spans="1:5" x14ac:dyDescent="0.25">
      <c r="A7" s="14" t="s">
        <v>157</v>
      </c>
      <c r="B7" s="14">
        <v>6</v>
      </c>
    </row>
    <row r="8" spans="1:5" ht="28.5" x14ac:dyDescent="0.25">
      <c r="A8" s="13" t="s">
        <v>158</v>
      </c>
      <c r="B8" s="13">
        <v>149</v>
      </c>
    </row>
    <row r="9" spans="1:5" ht="28.5" x14ac:dyDescent="0.25">
      <c r="A9" s="14" t="s">
        <v>159</v>
      </c>
      <c r="B9" s="14">
        <v>156</v>
      </c>
    </row>
    <row r="10" spans="1:5" x14ac:dyDescent="0.25">
      <c r="A10" s="13" t="s">
        <v>160</v>
      </c>
      <c r="B10" s="13" t="s">
        <v>161</v>
      </c>
    </row>
    <row r="12" spans="1:5" ht="42" customHeight="1" x14ac:dyDescent="0.25">
      <c r="A12" s="1"/>
      <c r="B12" s="1"/>
    </row>
    <row r="14" spans="1:5" ht="17.25" x14ac:dyDescent="0.3">
      <c r="A14" s="11" t="s">
        <v>162</v>
      </c>
    </row>
    <row r="16" spans="1:5" x14ac:dyDescent="0.25">
      <c r="A16" s="12" t="s">
        <v>163</v>
      </c>
      <c r="B16" s="12" t="s">
        <v>164</v>
      </c>
      <c r="C16" s="12" t="s">
        <v>165</v>
      </c>
      <c r="D16" s="12" t="s">
        <v>166</v>
      </c>
      <c r="E16" s="12" t="s">
        <v>167</v>
      </c>
    </row>
    <row r="17" spans="1:5" x14ac:dyDescent="0.25">
      <c r="A17" s="13" t="s">
        <v>168</v>
      </c>
      <c r="B17" s="13" t="s">
        <v>169</v>
      </c>
      <c r="C17" s="13" t="s">
        <v>170</v>
      </c>
      <c r="D17" s="13">
        <v>23</v>
      </c>
      <c r="E17" s="13" t="s">
        <v>171</v>
      </c>
    </row>
    <row r="18" spans="1:5" x14ac:dyDescent="0.25">
      <c r="A18" s="14" t="s">
        <v>172</v>
      </c>
      <c r="B18" s="14" t="s">
        <v>173</v>
      </c>
      <c r="C18" s="14" t="s">
        <v>174</v>
      </c>
      <c r="D18" s="14">
        <v>31</v>
      </c>
      <c r="E18" s="14" t="s">
        <v>171</v>
      </c>
    </row>
    <row r="19" spans="1:5" x14ac:dyDescent="0.25">
      <c r="A19" s="13" t="s">
        <v>175</v>
      </c>
      <c r="B19" s="13" t="s">
        <v>176</v>
      </c>
      <c r="C19" s="13" t="s">
        <v>177</v>
      </c>
      <c r="D19" s="13">
        <v>26</v>
      </c>
      <c r="E19" s="13" t="s">
        <v>171</v>
      </c>
    </row>
    <row r="20" spans="1:5" x14ac:dyDescent="0.25">
      <c r="A20" s="14" t="s">
        <v>178</v>
      </c>
      <c r="B20" s="14" t="s">
        <v>179</v>
      </c>
      <c r="C20" s="14" t="s">
        <v>180</v>
      </c>
      <c r="D20" s="14">
        <v>34</v>
      </c>
      <c r="E20" s="14" t="s">
        <v>171</v>
      </c>
    </row>
    <row r="21" spans="1:5" x14ac:dyDescent="0.25">
      <c r="A21" s="13" t="s">
        <v>181</v>
      </c>
      <c r="B21" s="13" t="s">
        <v>182</v>
      </c>
      <c r="C21" s="13" t="s">
        <v>183</v>
      </c>
      <c r="D21" s="13">
        <v>26</v>
      </c>
      <c r="E21" s="13" t="s">
        <v>171</v>
      </c>
    </row>
    <row r="22" spans="1:5" x14ac:dyDescent="0.25">
      <c r="A22" s="14" t="s">
        <v>184</v>
      </c>
      <c r="B22" s="14" t="s">
        <v>185</v>
      </c>
      <c r="C22" s="14" t="s">
        <v>186</v>
      </c>
      <c r="D22" s="14">
        <v>16</v>
      </c>
      <c r="E22" s="14" t="s">
        <v>171</v>
      </c>
    </row>
    <row r="23" spans="1:5" x14ac:dyDescent="0.25">
      <c r="A23" s="15" t="s">
        <v>187</v>
      </c>
      <c r="B23" s="16"/>
      <c r="C23" s="16"/>
      <c r="D23" s="15">
        <f>SUM(D17:D22)</f>
        <v>156</v>
      </c>
      <c r="E23" s="16"/>
    </row>
    <row r="24" spans="1:5" x14ac:dyDescent="0.25">
      <c r="A24" s="17" t="s">
        <v>188</v>
      </c>
      <c r="D24" s="18">
        <f>D23/6</f>
        <v>26</v>
      </c>
    </row>
    <row r="27" spans="1:5" ht="17.25" x14ac:dyDescent="0.3">
      <c r="A27" s="11" t="s">
        <v>189</v>
      </c>
    </row>
    <row r="29" spans="1:5" x14ac:dyDescent="0.25">
      <c r="A29" s="12" t="s">
        <v>113</v>
      </c>
      <c r="B29" s="12" t="s">
        <v>114</v>
      </c>
      <c r="C29" s="12" t="s">
        <v>115</v>
      </c>
      <c r="D29" s="12" t="s">
        <v>116</v>
      </c>
    </row>
    <row r="30" spans="1:5" ht="28.5" x14ac:dyDescent="0.25">
      <c r="A30" s="13" t="s">
        <v>190</v>
      </c>
      <c r="B30" s="13" t="s">
        <v>191</v>
      </c>
      <c r="C30" s="13" t="s">
        <v>192</v>
      </c>
      <c r="D30" s="13" t="s">
        <v>193</v>
      </c>
    </row>
    <row r="31" spans="1:5" ht="28.5" x14ac:dyDescent="0.25">
      <c r="A31" s="14" t="s">
        <v>194</v>
      </c>
      <c r="B31" s="14" t="s">
        <v>195</v>
      </c>
      <c r="C31" s="14" t="s">
        <v>196</v>
      </c>
      <c r="D31" s="14" t="s">
        <v>197</v>
      </c>
    </row>
    <row r="32" spans="1:5" ht="28.5" x14ac:dyDescent="0.25">
      <c r="A32" s="13" t="s">
        <v>198</v>
      </c>
      <c r="B32" s="13" t="s">
        <v>199</v>
      </c>
      <c r="C32" s="13" t="s">
        <v>200</v>
      </c>
      <c r="D32" s="13" t="s">
        <v>193</v>
      </c>
    </row>
    <row r="33" spans="1:4" ht="28.5" x14ac:dyDescent="0.25">
      <c r="A33" s="14" t="s">
        <v>201</v>
      </c>
      <c r="B33" s="14" t="s">
        <v>202</v>
      </c>
      <c r="C33" s="14" t="s">
        <v>203</v>
      </c>
      <c r="D33" s="14" t="s">
        <v>193</v>
      </c>
    </row>
    <row r="34" spans="1:4" ht="28.5" x14ac:dyDescent="0.25">
      <c r="A34" s="13" t="s">
        <v>204</v>
      </c>
      <c r="B34" s="13" t="s">
        <v>205</v>
      </c>
      <c r="C34" s="13" t="s">
        <v>206</v>
      </c>
      <c r="D34" s="13" t="s">
        <v>193</v>
      </c>
    </row>
    <row r="35" spans="1:4" ht="28.5" x14ac:dyDescent="0.25">
      <c r="A35" s="14" t="s">
        <v>207</v>
      </c>
      <c r="B35" s="14" t="s">
        <v>208</v>
      </c>
      <c r="C35" s="14" t="s">
        <v>209</v>
      </c>
      <c r="D35" s="14" t="s">
        <v>127</v>
      </c>
    </row>
    <row r="36" spans="1:4" x14ac:dyDescent="0.25">
      <c r="A36" s="13" t="s">
        <v>210</v>
      </c>
      <c r="B36" s="13" t="s">
        <v>211</v>
      </c>
      <c r="C36" s="13" t="s">
        <v>212</v>
      </c>
      <c r="D36" s="13" t="s">
        <v>213</v>
      </c>
    </row>
  </sheetData>
  <mergeCells count="1"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showGridLines="0" tabSelected="1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42" customWidth="1"/>
    <col min="2" max="2" width="70" customWidth="1"/>
  </cols>
  <sheetData>
    <row r="1" spans="1:2" ht="17.25" x14ac:dyDescent="0.3">
      <c r="A1" s="11" t="s">
        <v>214</v>
      </c>
    </row>
    <row r="3" spans="1:2" ht="30" customHeight="1" x14ac:dyDescent="0.25">
      <c r="A3" s="12" t="s">
        <v>215</v>
      </c>
      <c r="B3" s="12" t="s">
        <v>216</v>
      </c>
    </row>
    <row r="4" spans="1:2" ht="28.5" x14ac:dyDescent="0.25">
      <c r="A4" s="13" t="s">
        <v>217</v>
      </c>
      <c r="B4" s="13" t="s">
        <v>218</v>
      </c>
    </row>
    <row r="5" spans="1:2" ht="28.5" x14ac:dyDescent="0.25">
      <c r="A5" s="14" t="s">
        <v>219</v>
      </c>
      <c r="B5" s="14" t="s">
        <v>220</v>
      </c>
    </row>
    <row r="6" spans="1:2" ht="28.5" x14ac:dyDescent="0.25">
      <c r="A6" s="13" t="s">
        <v>221</v>
      </c>
      <c r="B6" s="13" t="s">
        <v>222</v>
      </c>
    </row>
    <row r="7" spans="1:2" ht="28.5" x14ac:dyDescent="0.25">
      <c r="A7" s="14" t="s">
        <v>223</v>
      </c>
      <c r="B7" s="14" t="s">
        <v>224</v>
      </c>
    </row>
    <row r="8" spans="1:2" ht="28.5" x14ac:dyDescent="0.25">
      <c r="A8" s="13" t="s">
        <v>225</v>
      </c>
      <c r="B8" s="13" t="s">
        <v>226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SLA Tecnicos</vt:lpstr>
      <vt:lpstr>KPI Negocio</vt:lpstr>
      <vt:lpstr>KPI Agiles</vt:lpstr>
      <vt:lpstr>Responsables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ALUMNO - ANDERSSON JUNIOR ESPINOZA MEDINA</cp:lastModifiedBy>
  <cp:revision>0</cp:revision>
  <dcterms:created xsi:type="dcterms:W3CDTF">2026-09-09T05:22:46Z</dcterms:created>
  <dcterms:modified xsi:type="dcterms:W3CDTF">2026-09-09T05:35:13Z</dcterms:modified>
  <dc:language>en-US</dc:language>
</cp:coreProperties>
</file>